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OneDrive\Documents\Equity Research Reports\The Coca-Cola Company\"/>
    </mc:Choice>
  </mc:AlternateContent>
  <xr:revisionPtr revIDLastSave="0" documentId="13_ncr:1_{0C9F40DE-F8EF-49E7-8A9E-1E40643021ED}" xr6:coauthVersionLast="47" xr6:coauthVersionMax="47" xr10:uidLastSave="{00000000-0000-0000-0000-000000000000}"/>
  <bookViews>
    <workbookView xWindow="-108" yWindow="-108" windowWidth="23256" windowHeight="12456" activeTab="1" xr2:uid="{D3DD792E-9983-45CC-BC42-176559400949}"/>
  </bookViews>
  <sheets>
    <sheet name="DCF" sheetId="1" r:id="rId1"/>
    <sheet name="WA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D48" i="1"/>
  <c r="C9" i="1"/>
  <c r="H7" i="1"/>
  <c r="E26" i="1" s="1"/>
  <c r="C27" i="1"/>
  <c r="D26" i="1"/>
  <c r="C26" i="1" s="1"/>
  <c r="G35" i="2"/>
  <c r="F35" i="2"/>
  <c r="F27" i="2"/>
  <c r="F26" i="2"/>
  <c r="F25" i="2"/>
  <c r="F32" i="2"/>
  <c r="F33" i="2"/>
  <c r="F34" i="2"/>
  <c r="F31" i="2"/>
  <c r="G27" i="2"/>
  <c r="D25" i="1" s="1"/>
  <c r="C25" i="1" s="1"/>
  <c r="D5" i="1"/>
  <c r="D4" i="1"/>
  <c r="D6" i="1"/>
  <c r="F10" i="1"/>
  <c r="F15" i="1" s="1"/>
  <c r="F19" i="1" s="1"/>
  <c r="G10" i="1" l="1"/>
  <c r="H10" i="1" s="1"/>
  <c r="I10" i="1" s="1"/>
  <c r="J10" i="1" s="1"/>
  <c r="K10" i="1" s="1"/>
  <c r="E25" i="1"/>
  <c r="F20" i="1"/>
  <c r="F16" i="1"/>
  <c r="F18" i="1"/>
  <c r="C28" i="1" l="1"/>
  <c r="G32" i="1"/>
  <c r="H32" i="1"/>
  <c r="I32" i="1"/>
  <c r="J32" i="1"/>
  <c r="K32" i="1"/>
  <c r="F32" i="1"/>
  <c r="F17" i="1"/>
  <c r="F21" i="1"/>
  <c r="G15" i="1"/>
  <c r="F33" i="1" l="1"/>
  <c r="G19" i="1"/>
  <c r="G20" i="1"/>
  <c r="H15" i="1"/>
  <c r="G16" i="1"/>
  <c r="G18" i="1"/>
  <c r="G17" i="1" l="1"/>
  <c r="G21" i="1"/>
  <c r="G33" i="1" s="1"/>
  <c r="H19" i="1"/>
  <c r="H20" i="1"/>
  <c r="I15" i="1"/>
  <c r="H18" i="1"/>
  <c r="H16" i="1"/>
  <c r="H17" i="1" l="1"/>
  <c r="H21" i="1"/>
  <c r="H33" i="1" s="1"/>
  <c r="I19" i="1"/>
  <c r="I20" i="1"/>
  <c r="J15" i="1"/>
  <c r="I18" i="1"/>
  <c r="I16" i="1"/>
  <c r="I17" i="1" l="1"/>
  <c r="I21" i="1"/>
  <c r="I33" i="1" s="1"/>
  <c r="J19" i="1"/>
  <c r="J20" i="1"/>
  <c r="K15" i="1"/>
  <c r="J18" i="1"/>
  <c r="J16" i="1"/>
  <c r="J17" i="1" l="1"/>
  <c r="J21" i="1"/>
  <c r="J33" i="1" s="1"/>
  <c r="K19" i="1"/>
  <c r="K20" i="1"/>
  <c r="K18" i="1"/>
  <c r="K16" i="1"/>
  <c r="K17" i="1" l="1"/>
  <c r="K21" i="1"/>
  <c r="K33" i="1" l="1"/>
  <c r="K34" i="1"/>
  <c r="K35" i="1" s="1"/>
  <c r="K36" i="1" l="1"/>
  <c r="D40" i="1" s="1"/>
  <c r="D45" i="1" s="1"/>
  <c r="D46" i="1" s="1"/>
  <c r="D49" i="1" s="1"/>
</calcChain>
</file>

<file path=xl/sharedStrings.xml><?xml version="1.0" encoding="utf-8"?>
<sst xmlns="http://schemas.openxmlformats.org/spreadsheetml/2006/main" count="84" uniqueCount="73">
  <si>
    <t>EBIT</t>
  </si>
  <si>
    <t>CapEx</t>
  </si>
  <si>
    <t>Non Cash Working Capital</t>
  </si>
  <si>
    <t>Free Cash Flow</t>
  </si>
  <si>
    <t>Tax</t>
  </si>
  <si>
    <t>D&amp;A</t>
  </si>
  <si>
    <t>Assumptions pt.1</t>
  </si>
  <si>
    <t>Growth Rate</t>
  </si>
  <si>
    <t>Cost of Debt</t>
  </si>
  <si>
    <t>Tax Rate</t>
  </si>
  <si>
    <t xml:space="preserve">10yr Treasury </t>
  </si>
  <si>
    <t>Assumptions pt.2</t>
  </si>
  <si>
    <t>Beta</t>
  </si>
  <si>
    <t>T0</t>
  </si>
  <si>
    <t>T1</t>
  </si>
  <si>
    <t>T2</t>
  </si>
  <si>
    <t>T3</t>
  </si>
  <si>
    <t>T4</t>
  </si>
  <si>
    <t>T5</t>
  </si>
  <si>
    <t>WACC</t>
  </si>
  <si>
    <t>Cost of Equity</t>
  </si>
  <si>
    <t>Terminal Value</t>
  </si>
  <si>
    <t>Discount Factor</t>
  </si>
  <si>
    <t>PV of Free Cash Flow</t>
  </si>
  <si>
    <t>PV of Terminal Value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</si>
  <si>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</si>
  <si>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</si>
  <si>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</si>
  <si>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</si>
  <si>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</si>
  <si>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</si>
  <si>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Shares Outstanding</t>
  </si>
  <si>
    <t>Implied Share Price</t>
  </si>
  <si>
    <t>T6</t>
  </si>
  <si>
    <t>Revenues</t>
  </si>
  <si>
    <t>Growth Curve</t>
  </si>
  <si>
    <t>EBIT Margin</t>
  </si>
  <si>
    <t>CapEx Curve</t>
  </si>
  <si>
    <t>Weighted Average Cost of Capital  (WACC)</t>
  </si>
  <si>
    <t>1. Cost of Debt</t>
  </si>
  <si>
    <t>Cost of debt has been estimated from 10-k statements foot notes from The Coca Cola Company</t>
  </si>
  <si>
    <t>Fixed interest rate long-term debt:</t>
  </si>
  <si>
    <t>U.S. dollar notes due 2027-2093</t>
  </si>
  <si>
    <t>U.S. dollar debentures due 2026-2098</t>
  </si>
  <si>
    <t>Euro notes due 2026-2053</t>
  </si>
  <si>
    <t>Swiss franc notes due 2028</t>
  </si>
  <si>
    <t>Less: Current portion</t>
  </si>
  <si>
    <t>Long-term debt</t>
  </si>
  <si>
    <t>Other, due through 20982</t>
  </si>
  <si>
    <t>Fair value adjustments3</t>
  </si>
  <si>
    <t>Total</t>
  </si>
  <si>
    <t>3.3% cannot be used directly because WACC needs 
market required cost of debt today, so final estimation:</t>
  </si>
  <si>
    <t xml:space="preserve">Final Cost of Debt </t>
  </si>
  <si>
    <t>Estimation + 10-k data</t>
  </si>
  <si>
    <t>Risk Free Rate</t>
  </si>
  <si>
    <t>Equity Risk Premium:</t>
  </si>
  <si>
    <t>Return of Market</t>
  </si>
  <si>
    <t>as %</t>
  </si>
  <si>
    <t>2. Cost of Equity using CAPM</t>
  </si>
  <si>
    <t>Weights</t>
  </si>
  <si>
    <t>Share Value</t>
  </si>
  <si>
    <t>Debt</t>
  </si>
  <si>
    <t>Share Price</t>
  </si>
  <si>
    <t>Equity</t>
  </si>
  <si>
    <t>Preferred Stock</t>
  </si>
  <si>
    <t>Cost</t>
  </si>
  <si>
    <t>Growth Rate for Terminal Value</t>
  </si>
  <si>
    <t xml:space="preserve">Equity Value </t>
  </si>
  <si>
    <t>Equity Value in millions</t>
  </si>
  <si>
    <t>Discounted Cash Flow of The Coca Cola Company</t>
  </si>
  <si>
    <r>
      <t xml:space="preserve">(ii) Beta has been calculated from Python Model - </t>
    </r>
    <r>
      <rPr>
        <b/>
        <i/>
        <sz val="11"/>
        <color theme="1"/>
        <rFont val="Aptos Narrow"/>
        <family val="2"/>
        <scheme val="minor"/>
      </rPr>
      <t>BetaGet</t>
    </r>
  </si>
  <si>
    <r>
      <t xml:space="preserve">(i) Risk Free Rate has been derived from a </t>
    </r>
    <r>
      <rPr>
        <b/>
        <i/>
        <sz val="11"/>
        <color theme="1"/>
        <rFont val="Aptos Narrow"/>
        <family val="2"/>
        <scheme val="minor"/>
      </rPr>
      <t xml:space="preserve">10Yr US Treasury Bill </t>
    </r>
  </si>
  <si>
    <r>
      <t xml:space="preserve">(iii) Return of Market under ERP has been derived from </t>
    </r>
    <r>
      <rPr>
        <b/>
        <i/>
        <sz val="11"/>
        <color theme="1"/>
        <rFont val="Aptos Narrow"/>
        <family val="2"/>
        <scheme val="minor"/>
      </rPr>
      <t>Kroll web</t>
    </r>
    <r>
      <rPr>
        <i/>
        <sz val="11"/>
        <color theme="1"/>
        <rFont val="Aptos Narrow"/>
        <family val="2"/>
        <scheme val="minor"/>
      </rPr>
      <t xml:space="preserve">, 
</t>
    </r>
    <r>
      <rPr>
        <b/>
        <i/>
        <sz val="11"/>
        <color theme="1"/>
        <rFont val="Aptos Narrow"/>
        <family val="2"/>
        <scheme val="minor"/>
      </rPr>
      <t>ERP = 5%</t>
    </r>
    <r>
      <rPr>
        <i/>
        <sz val="11"/>
        <color theme="1"/>
        <rFont val="Aptos Narrow"/>
        <family val="2"/>
        <scheme val="minor"/>
      </rPr>
      <t xml:space="preserve">, Therefore </t>
    </r>
    <r>
      <rPr>
        <b/>
        <i/>
        <sz val="11"/>
        <color theme="1"/>
        <rFont val="Aptos Narrow"/>
        <family val="2"/>
        <scheme val="minor"/>
      </rPr>
      <t>Return of Market = Risk Free Rate + ERP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</si>
</sst>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4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 applyAlignment="1">
      <alignment vertical="center"/>
    </xf>
    <xf numFmtId="1" fontId="3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right"/>
    </xf>
    <xf numFmtId="3" fontId="3" fillId="0" borderId="0" xfId="0" applyNumberFormat="1" applyFont="1"/>
    <xf numFmtId="10" fontId="3" fillId="0" borderId="0" xfId="1" applyNumberFormat="1" applyFont="1"/>
    <xf numFmtId="10" fontId="3" fillId="0" borderId="0" xfId="1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4" fillId="0" borderId="3" xfId="0" applyNumberFormat="1" applyFont="1" applyBorder="1" applyAlignment="1">
      <alignment vertical="center"/>
    </xf>
    <xf numFmtId="0" fontId="0" fillId="2" borderId="0" xfId="0" applyFill="1"/>
    <xf numFmtId="0" fontId="6" fillId="2" borderId="0" xfId="0" applyFont="1" applyFill="1"/>
    <xf numFmtId="0" fontId="0" fillId="0" borderId="4" xfId="0" applyBorder="1"/>
    <xf numFmtId="0" fontId="8" fillId="2" borderId="0" xfId="0" applyFont="1" applyFill="1"/>
    <xf numFmtId="0" fontId="9" fillId="0" borderId="4" xfId="0" applyFont="1" applyBorder="1"/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wrapText="1"/>
    </xf>
    <xf numFmtId="3" fontId="10" fillId="0" borderId="6" xfId="0" applyNumberFormat="1" applyFont="1" applyBorder="1" applyAlignment="1">
      <alignment horizontal="right" wrapText="1"/>
    </xf>
    <xf numFmtId="0" fontId="10" fillId="0" borderId="6" xfId="0" applyFont="1" applyBorder="1" applyAlignment="1">
      <alignment horizontal="right" wrapText="1"/>
    </xf>
    <xf numFmtId="0" fontId="11" fillId="2" borderId="6" xfId="0" applyFont="1" applyFill="1" applyBorder="1" applyAlignment="1">
      <alignment horizontal="right" wrapText="1"/>
    </xf>
    <xf numFmtId="0" fontId="7" fillId="0" borderId="4" xfId="0" applyFont="1" applyBorder="1"/>
    <xf numFmtId="164" fontId="0" fillId="0" borderId="0" xfId="0" applyNumberFormat="1"/>
    <xf numFmtId="0" fontId="0" fillId="0" borderId="3" xfId="0" applyBorder="1"/>
    <xf numFmtId="0" fontId="7" fillId="0" borderId="3" xfId="0" applyFont="1" applyBorder="1"/>
    <xf numFmtId="0" fontId="10" fillId="2" borderId="6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3" fontId="11" fillId="2" borderId="6" xfId="0" applyNumberFormat="1" applyFont="1" applyFill="1" applyBorder="1" applyAlignment="1">
      <alignment horizontal="right" wrapText="1"/>
    </xf>
    <xf numFmtId="165" fontId="3" fillId="0" borderId="0" xfId="0" applyNumberFormat="1" applyFont="1"/>
    <xf numFmtId="0" fontId="13" fillId="0" borderId="4" xfId="0" applyFont="1" applyBorder="1"/>
    <xf numFmtId="4" fontId="14" fillId="0" borderId="0" xfId="0" applyNumberFormat="1" applyFont="1"/>
    <xf numFmtId="10" fontId="3" fillId="0" borderId="0" xfId="0" applyNumberFormat="1" applyFont="1"/>
    <xf numFmtId="2" fontId="3" fillId="0" borderId="0" xfId="0" applyNumberFormat="1" applyFont="1"/>
    <xf numFmtId="0" fontId="18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8" fillId="2" borderId="4" xfId="0" applyFont="1" applyFill="1" applyBorder="1" applyAlignment="1">
      <alignment horizontal="right" vertical="center"/>
    </xf>
    <xf numFmtId="0" fontId="19" fillId="2" borderId="4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4" xfId="0" applyFont="1" applyFill="1" applyBorder="1"/>
    <xf numFmtId="0" fontId="15" fillId="2" borderId="7" xfId="0" applyFont="1" applyFill="1" applyBorder="1"/>
    <xf numFmtId="166" fontId="15" fillId="2" borderId="7" xfId="0" applyNumberFormat="1" applyFont="1" applyFill="1" applyBorder="1"/>
    <xf numFmtId="0" fontId="16" fillId="2" borderId="7" xfId="0" applyFont="1" applyFill="1" applyBorder="1"/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2" fontId="3" fillId="0" borderId="3" xfId="0" applyNumberFormat="1" applyFont="1" applyBorder="1"/>
    <xf numFmtId="4" fontId="3" fillId="0" borderId="4" xfId="0" applyNumberFormat="1" applyFont="1" applyBorder="1"/>
    <xf numFmtId="0" fontId="15" fillId="2" borderId="0" xfId="0" applyFont="1" applyFill="1"/>
    <xf numFmtId="0" fontId="3" fillId="0" borderId="8" xfId="0" applyFont="1" applyBorder="1"/>
    <xf numFmtId="2" fontId="4" fillId="0" borderId="3" xfId="0" applyNumberFormat="1" applyFont="1" applyBorder="1"/>
    <xf numFmtId="1" fontId="3" fillId="0" borderId="0" xfId="0" applyNumberFormat="1" applyFont="1"/>
    <xf numFmtId="164" fontId="3" fillId="0" borderId="0" xfId="0" applyNumberFormat="1" applyFont="1"/>
    <xf numFmtId="167" fontId="3" fillId="0" borderId="8" xfId="0" applyNumberFormat="1" applyFont="1" applyBorder="1"/>
    <xf numFmtId="2" fontId="15" fillId="2" borderId="0" xfId="0" applyNumberFormat="1" applyFont="1" applyFill="1"/>
    <xf numFmtId="0" fontId="17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6970-456D-4D59-A29C-896AE0B82178}">
  <dimension ref="B1:K49"/>
  <sheetViews>
    <sheetView showGridLines="0" topLeftCell="A20" zoomScale="95" zoomScaleNormal="110" workbookViewId="0">
      <selection activeCell="B1" sqref="B1:K1"/>
    </sheetView>
  </sheetViews>
  <sheetFormatPr defaultRowHeight="13.8" x14ac:dyDescent="0.3"/>
  <cols>
    <col min="1" max="1" width="2.77734375" style="1" customWidth="1"/>
    <col min="2" max="2" width="28.44140625" style="1" bestFit="1" customWidth="1"/>
    <col min="3" max="3" width="14.109375" style="1" customWidth="1"/>
    <col min="4" max="4" width="18.6640625" style="1" bestFit="1" customWidth="1"/>
    <col min="5" max="7" width="14.109375" style="1" customWidth="1"/>
    <col min="8" max="8" width="15.5546875" style="1" bestFit="1" customWidth="1"/>
    <col min="9" max="11" width="14.109375" style="1" customWidth="1"/>
    <col min="12" max="16384" width="8.88671875" style="1"/>
  </cols>
  <sheetData>
    <row r="1" spans="2:11" ht="15.6" x14ac:dyDescent="0.3">
      <c r="B1" s="60" t="s">
        <v>69</v>
      </c>
      <c r="C1" s="60"/>
      <c r="D1" s="60"/>
      <c r="E1" s="60"/>
      <c r="F1" s="60"/>
      <c r="G1" s="60"/>
      <c r="H1" s="60"/>
      <c r="I1" s="60"/>
      <c r="J1" s="60"/>
      <c r="K1" s="60"/>
    </row>
    <row r="3" spans="2:11" ht="14.4" thickBot="1" x14ac:dyDescent="0.35">
      <c r="B3" s="50" t="s">
        <v>6</v>
      </c>
      <c r="C3" s="49"/>
      <c r="D3" s="49"/>
      <c r="F3" s="50" t="s">
        <v>11</v>
      </c>
      <c r="G3" s="50"/>
      <c r="H3" s="50"/>
    </row>
    <row r="4" spans="2:11" x14ac:dyDescent="0.3">
      <c r="B4" s="3" t="s">
        <v>7</v>
      </c>
      <c r="C4" s="10">
        <v>1.8499999999999999E-2</v>
      </c>
      <c r="D4" s="14">
        <f>C4</f>
        <v>1.8499999999999999E-2</v>
      </c>
      <c r="F4" s="1" t="s">
        <v>61</v>
      </c>
      <c r="H4" s="39">
        <v>45492000000</v>
      </c>
    </row>
    <row r="5" spans="2:11" x14ac:dyDescent="0.3">
      <c r="B5" s="3" t="s">
        <v>36</v>
      </c>
      <c r="C5" s="2">
        <v>0.28000000000000003</v>
      </c>
      <c r="D5" s="12">
        <f>C5</f>
        <v>0.28000000000000003</v>
      </c>
      <c r="F5" s="1" t="s">
        <v>31</v>
      </c>
      <c r="H5" s="37">
        <v>4300723069</v>
      </c>
    </row>
    <row r="6" spans="2:11" x14ac:dyDescent="0.3">
      <c r="B6" s="3" t="s">
        <v>9</v>
      </c>
      <c r="C6" s="2">
        <v>0.22900000000000001</v>
      </c>
      <c r="D6" s="13">
        <f>C6</f>
        <v>0.22900000000000001</v>
      </c>
      <c r="F6" s="1" t="s">
        <v>62</v>
      </c>
      <c r="H6" s="37">
        <v>80.819999999999993</v>
      </c>
    </row>
    <row r="7" spans="2:11" x14ac:dyDescent="0.3">
      <c r="B7" s="3" t="s">
        <v>10</v>
      </c>
      <c r="C7" s="1">
        <v>4.3900000000000002E-2</v>
      </c>
      <c r="D7" s="38">
        <v>4.3900000000000002E-2</v>
      </c>
      <c r="F7" s="1" t="s">
        <v>60</v>
      </c>
      <c r="H7" s="39">
        <f>H5*H6</f>
        <v>347584438436.57996</v>
      </c>
    </row>
    <row r="8" spans="2:11" x14ac:dyDescent="0.3">
      <c r="B8" s="1" t="s">
        <v>12</v>
      </c>
      <c r="D8" s="1">
        <v>0.4</v>
      </c>
    </row>
    <row r="9" spans="2:11" x14ac:dyDescent="0.3">
      <c r="B9" s="1" t="s">
        <v>66</v>
      </c>
      <c r="C9" s="35">
        <f>D9</f>
        <v>1.4999999999999999E-2</v>
      </c>
      <c r="D9" s="14">
        <v>1.4999999999999999E-2</v>
      </c>
    </row>
    <row r="10" spans="2:11" x14ac:dyDescent="0.3">
      <c r="B10" s="3" t="s">
        <v>35</v>
      </c>
      <c r="C10" s="3"/>
      <c r="F10" s="57">
        <f>C4</f>
        <v>1.8499999999999999E-2</v>
      </c>
      <c r="G10" s="57">
        <f>F10-0.0005</f>
        <v>1.7999999999999999E-2</v>
      </c>
      <c r="H10" s="57">
        <f>G10-0.0005</f>
        <v>1.7499999999999998E-2</v>
      </c>
      <c r="I10" s="57">
        <f>H10-0.0005</f>
        <v>1.6999999999999998E-2</v>
      </c>
      <c r="J10" s="57">
        <f>I10-0.0005</f>
        <v>1.6499999999999997E-2</v>
      </c>
      <c r="K10" s="57">
        <f>J10-0.0005</f>
        <v>1.5999999999999997E-2</v>
      </c>
    </row>
    <row r="11" spans="2:11" x14ac:dyDescent="0.3">
      <c r="B11" s="1" t="s">
        <v>37</v>
      </c>
      <c r="F11" s="1">
        <v>4.2000000000000003E-2</v>
      </c>
      <c r="G11" s="1">
        <v>4.2000000000000003E-2</v>
      </c>
      <c r="H11" s="1">
        <v>4.1700000000000001E-2</v>
      </c>
      <c r="I11" s="1">
        <v>4.1500000000000002E-2</v>
      </c>
      <c r="J11" s="1">
        <v>4.1250000000000002E-2</v>
      </c>
      <c r="K11" s="1">
        <v>0.04</v>
      </c>
    </row>
    <row r="14" spans="2:11" ht="15" thickBot="1" x14ac:dyDescent="0.35">
      <c r="B14" s="40" t="s">
        <v>3</v>
      </c>
      <c r="C14" s="41"/>
      <c r="D14" s="41"/>
      <c r="E14" s="42" t="s">
        <v>13</v>
      </c>
      <c r="F14" s="42" t="s">
        <v>14</v>
      </c>
      <c r="G14" s="42" t="s">
        <v>15</v>
      </c>
      <c r="H14" s="42" t="s">
        <v>16</v>
      </c>
      <c r="I14" s="42" t="s">
        <v>17</v>
      </c>
      <c r="J14" s="42" t="s">
        <v>18</v>
      </c>
      <c r="K14" s="42" t="s">
        <v>33</v>
      </c>
    </row>
    <row r="15" spans="2:11" x14ac:dyDescent="0.3">
      <c r="B15" s="1" t="s">
        <v>34</v>
      </c>
      <c r="E15" s="4">
        <v>47941</v>
      </c>
      <c r="F15" s="9">
        <f t="shared" ref="F15:K15" si="0">E15*(1+F10)</f>
        <v>48827.908499999998</v>
      </c>
      <c r="G15" s="9">
        <f t="shared" si="0"/>
        <v>49706.810852999995</v>
      </c>
      <c r="H15" s="9">
        <f t="shared" si="0"/>
        <v>50576.680042927495</v>
      </c>
      <c r="I15" s="9">
        <f t="shared" si="0"/>
        <v>51436.48360365726</v>
      </c>
      <c r="J15" s="9">
        <f t="shared" si="0"/>
        <v>52285.1855831176</v>
      </c>
      <c r="K15" s="9">
        <f t="shared" si="0"/>
        <v>53121.748552447483</v>
      </c>
    </row>
    <row r="16" spans="2:11" x14ac:dyDescent="0.3">
      <c r="B16" s="61" t="s">
        <v>0</v>
      </c>
      <c r="C16" s="61"/>
      <c r="D16" s="61"/>
      <c r="E16" s="11"/>
      <c r="F16" s="9">
        <f t="shared" ref="F16:K16" si="1">F15*$C$5</f>
        <v>13671.81438</v>
      </c>
      <c r="G16" s="9">
        <f t="shared" si="1"/>
        <v>13917.90703884</v>
      </c>
      <c r="H16" s="9">
        <f t="shared" si="1"/>
        <v>14161.4704120197</v>
      </c>
      <c r="I16" s="9">
        <f t="shared" si="1"/>
        <v>14402.215409024035</v>
      </c>
      <c r="J16" s="9">
        <f t="shared" si="1"/>
        <v>14639.851963272929</v>
      </c>
      <c r="K16" s="9">
        <f t="shared" si="1"/>
        <v>14874.089594685296</v>
      </c>
    </row>
    <row r="17" spans="2:11" x14ac:dyDescent="0.3">
      <c r="B17" s="61" t="s">
        <v>4</v>
      </c>
      <c r="C17" s="61"/>
      <c r="D17" s="61"/>
      <c r="E17" s="4"/>
      <c r="F17" s="9">
        <f t="shared" ref="F17:K17" si="2">F16*-$C$6</f>
        <v>-3130.84549302</v>
      </c>
      <c r="G17" s="9">
        <f t="shared" si="2"/>
        <v>-3187.2007118943602</v>
      </c>
      <c r="H17" s="9">
        <f t="shared" si="2"/>
        <v>-3242.9767243525116</v>
      </c>
      <c r="I17" s="9">
        <f t="shared" si="2"/>
        <v>-3298.1073286665041</v>
      </c>
      <c r="J17" s="9">
        <f t="shared" si="2"/>
        <v>-3352.526099589501</v>
      </c>
      <c r="K17" s="9">
        <f t="shared" si="2"/>
        <v>-3406.1665171829331</v>
      </c>
    </row>
    <row r="18" spans="2:11" x14ac:dyDescent="0.3">
      <c r="B18" s="61" t="s">
        <v>5</v>
      </c>
      <c r="C18" s="61"/>
      <c r="D18" s="61"/>
      <c r="E18" s="4"/>
      <c r="F18" s="9">
        <f>F15*2.4%</f>
        <v>1171.8698039999999</v>
      </c>
      <c r="G18" s="9">
        <f t="shared" ref="G18:K18" si="3">G15*2.4%</f>
        <v>1192.963460472</v>
      </c>
      <c r="H18" s="9">
        <f t="shared" si="3"/>
        <v>1213.8403210302599</v>
      </c>
      <c r="I18" s="9">
        <f t="shared" si="3"/>
        <v>1234.4756064877743</v>
      </c>
      <c r="J18" s="9">
        <f t="shared" si="3"/>
        <v>1254.8444539948225</v>
      </c>
      <c r="K18" s="9">
        <f t="shared" si="3"/>
        <v>1274.9219652587396</v>
      </c>
    </row>
    <row r="19" spans="2:11" x14ac:dyDescent="0.3">
      <c r="B19" s="61" t="s">
        <v>1</v>
      </c>
      <c r="C19" s="61"/>
      <c r="D19" s="61"/>
      <c r="E19" s="4"/>
      <c r="F19" s="9">
        <f t="shared" ref="F19:K19" si="4">F15*F11</f>
        <v>2050.7721569999999</v>
      </c>
      <c r="G19" s="9">
        <f t="shared" si="4"/>
        <v>2087.686055826</v>
      </c>
      <c r="H19" s="9">
        <f t="shared" si="4"/>
        <v>2109.0475577900766</v>
      </c>
      <c r="I19" s="9">
        <f t="shared" si="4"/>
        <v>2134.6140695517765</v>
      </c>
      <c r="J19" s="9">
        <f t="shared" si="4"/>
        <v>2156.7639053036009</v>
      </c>
      <c r="K19" s="9">
        <f t="shared" si="4"/>
        <v>2124.8699420978992</v>
      </c>
    </row>
    <row r="20" spans="2:11" x14ac:dyDescent="0.3">
      <c r="B20" s="62" t="s">
        <v>2</v>
      </c>
      <c r="C20" s="62"/>
      <c r="D20" s="62"/>
      <c r="E20" s="15"/>
      <c r="F20" s="16">
        <f>F15*(-0.173449)</f>
        <v>-8469.1519014164987</v>
      </c>
      <c r="G20" s="16">
        <f t="shared" ref="G20:K20" si="5">G15*(-0.173449)</f>
        <v>-8621.5966356419958</v>
      </c>
      <c r="H20" s="16">
        <f t="shared" si="5"/>
        <v>-8772.4745767657314</v>
      </c>
      <c r="I20" s="16">
        <f t="shared" si="5"/>
        <v>-8921.6066445707474</v>
      </c>
      <c r="J20" s="16">
        <f t="shared" si="5"/>
        <v>-9068.8131542061637</v>
      </c>
      <c r="K20" s="16">
        <f t="shared" si="5"/>
        <v>-9213.9141646734624</v>
      </c>
    </row>
    <row r="21" spans="2:11" ht="14.4" thickBot="1" x14ac:dyDescent="0.35">
      <c r="B21" s="63" t="s">
        <v>3</v>
      </c>
      <c r="C21" s="63"/>
      <c r="D21" s="63"/>
      <c r="E21" s="8"/>
      <c r="F21" s="17">
        <f t="shared" ref="F21:K21" si="6">F16*(1-$C$6)+F18-F19-F20</f>
        <v>18131.218435396499</v>
      </c>
      <c r="G21" s="17">
        <f t="shared" si="6"/>
        <v>18457.580367233633</v>
      </c>
      <c r="H21" s="17">
        <f t="shared" si="6"/>
        <v>18795.761027673107</v>
      </c>
      <c r="I21" s="17">
        <f t="shared" si="6"/>
        <v>19125.576261864277</v>
      </c>
      <c r="J21" s="17">
        <f t="shared" si="6"/>
        <v>19454.219566580814</v>
      </c>
      <c r="K21" s="17">
        <f t="shared" si="6"/>
        <v>19831.889265336667</v>
      </c>
    </row>
    <row r="22" spans="2:11" ht="14.4" thickTop="1" x14ac:dyDescent="0.3">
      <c r="F22" s="56"/>
      <c r="G22" s="56"/>
      <c r="H22" s="56"/>
      <c r="I22" s="56"/>
      <c r="J22" s="56"/>
      <c r="K22" s="56"/>
    </row>
    <row r="24" spans="2:11" ht="15" thickBot="1" x14ac:dyDescent="0.35">
      <c r="B24" s="40" t="s">
        <v>19</v>
      </c>
      <c r="C24" s="43" t="s">
        <v>57</v>
      </c>
      <c r="D24" s="44" t="s">
        <v>65</v>
      </c>
      <c r="E24" s="45" t="s">
        <v>59</v>
      </c>
    </row>
    <row r="25" spans="2:11" x14ac:dyDescent="0.3">
      <c r="B25" s="1" t="s">
        <v>61</v>
      </c>
      <c r="C25" s="35">
        <f>D25*100</f>
        <v>2.9298000000000002</v>
      </c>
      <c r="D25" s="35">
        <f>WACC!G27</f>
        <v>2.9298000000000001E-2</v>
      </c>
      <c r="E25" s="1">
        <f>H4/(H7+H4)</f>
        <v>0.11573321509917925</v>
      </c>
    </row>
    <row r="26" spans="2:11" x14ac:dyDescent="0.3">
      <c r="B26" s="1" t="s">
        <v>63</v>
      </c>
      <c r="C26" s="35">
        <f t="shared" ref="C26:C27" si="7">D26*100</f>
        <v>6.39</v>
      </c>
      <c r="D26" s="1">
        <f>WACC!G35</f>
        <v>6.3899999999999998E-2</v>
      </c>
      <c r="E26" s="1">
        <f>H7/(H4+H7)</f>
        <v>0.88426678490082078</v>
      </c>
    </row>
    <row r="27" spans="2:11" x14ac:dyDescent="0.3">
      <c r="B27" s="1" t="s">
        <v>64</v>
      </c>
      <c r="C27" s="35">
        <f t="shared" si="7"/>
        <v>0</v>
      </c>
      <c r="D27" s="1">
        <v>0</v>
      </c>
      <c r="E27" s="1">
        <v>0</v>
      </c>
    </row>
    <row r="28" spans="2:11" ht="14.4" thickBot="1" x14ac:dyDescent="0.35">
      <c r="B28" s="46" t="s">
        <v>19</v>
      </c>
      <c r="C28" s="47">
        <f>E28*100</f>
        <v>5.9895399291138203</v>
      </c>
      <c r="D28" s="48"/>
      <c r="E28" s="46">
        <f>(D25*E25)+(D26*E26)</f>
        <v>5.9895399291138206E-2</v>
      </c>
    </row>
    <row r="31" spans="2:11" ht="15" thickBot="1" x14ac:dyDescent="0.35">
      <c r="B31" s="40" t="s">
        <v>21</v>
      </c>
      <c r="C31" s="40"/>
      <c r="D31" s="40"/>
      <c r="E31" s="42">
        <v>0</v>
      </c>
      <c r="F31" s="42">
        <v>1</v>
      </c>
      <c r="G31" s="42">
        <v>2</v>
      </c>
      <c r="H31" s="42">
        <v>3</v>
      </c>
      <c r="I31" s="42">
        <v>4</v>
      </c>
      <c r="J31" s="42">
        <v>5</v>
      </c>
      <c r="K31" s="42">
        <v>6</v>
      </c>
    </row>
    <row r="32" spans="2:11" x14ac:dyDescent="0.3">
      <c r="B32" s="1" t="s">
        <v>22</v>
      </c>
      <c r="F32" s="39">
        <f>1/(1+$E$28)^F31</f>
        <v>0.94348932986104439</v>
      </c>
      <c r="G32" s="39">
        <f t="shared" ref="G32:K32" si="8">1/(1+$E$28)^G31</f>
        <v>0.89017211556164266</v>
      </c>
      <c r="H32" s="39">
        <f t="shared" si="8"/>
        <v>0.83986789277224239</v>
      </c>
      <c r="I32" s="39">
        <f t="shared" si="8"/>
        <v>0.79240639532349044</v>
      </c>
      <c r="J32" s="39">
        <f t="shared" si="8"/>
        <v>0.74762697890136587</v>
      </c>
      <c r="K32" s="39">
        <f t="shared" si="8"/>
        <v>0.70537807730968682</v>
      </c>
    </row>
    <row r="33" spans="2:11" x14ac:dyDescent="0.3">
      <c r="B33" s="1" t="s">
        <v>23</v>
      </c>
      <c r="F33" s="39">
        <f>F21*F32</f>
        <v>17106.611131176454</v>
      </c>
      <c r="G33" s="39">
        <f t="shared" ref="G33:K33" si="9">G21*G32</f>
        <v>16430.423363649406</v>
      </c>
      <c r="H33" s="39">
        <f t="shared" si="9"/>
        <v>15785.956207362449</v>
      </c>
      <c r="I33" s="39">
        <f t="shared" si="9"/>
        <v>15155.228944148388</v>
      </c>
      <c r="J33" s="39">
        <f t="shared" si="9"/>
        <v>14544.499401446654</v>
      </c>
      <c r="K33" s="39">
        <f t="shared" si="9"/>
        <v>13988.979919401796</v>
      </c>
    </row>
    <row r="34" spans="2:11" x14ac:dyDescent="0.3">
      <c r="B34" s="1" t="s">
        <v>21</v>
      </c>
      <c r="F34" s="39"/>
      <c r="G34" s="39"/>
      <c r="H34" s="39"/>
      <c r="I34" s="39"/>
      <c r="J34" s="39"/>
      <c r="K34" s="39">
        <f>(K21*(1+C9))/(E28-C9)</f>
        <v>448361.47850655159</v>
      </c>
    </row>
    <row r="35" spans="2:11" x14ac:dyDescent="0.3">
      <c r="B35" s="1" t="s">
        <v>24</v>
      </c>
      <c r="K35" s="39">
        <f>K34/(1+E28)^K31</f>
        <v>316264.35764867987</v>
      </c>
    </row>
    <row r="36" spans="2:11" ht="14.4" thickBot="1" x14ac:dyDescent="0.35">
      <c r="B36" s="5" t="s">
        <v>25</v>
      </c>
      <c r="C36" s="6"/>
      <c r="D36" s="6"/>
      <c r="E36" s="6"/>
      <c r="F36" s="6"/>
      <c r="G36" s="6"/>
      <c r="H36" s="6"/>
      <c r="I36" s="6"/>
      <c r="J36" s="6"/>
      <c r="K36" s="51">
        <f>SUM(F33:K33,K35)</f>
        <v>409276.05661586503</v>
      </c>
    </row>
    <row r="37" spans="2:11" ht="14.4" thickTop="1" x14ac:dyDescent="0.3"/>
    <row r="39" spans="2:11" ht="15" thickBot="1" x14ac:dyDescent="0.35">
      <c r="B39" s="40" t="s">
        <v>26</v>
      </c>
      <c r="C39" s="41"/>
      <c r="D39" s="41"/>
    </row>
    <row r="40" spans="2:11" x14ac:dyDescent="0.3">
      <c r="B40" s="1" t="s">
        <v>25</v>
      </c>
      <c r="D40" s="39">
        <f>K36</f>
        <v>409276.05661586503</v>
      </c>
    </row>
    <row r="41" spans="2:11" x14ac:dyDescent="0.3">
      <c r="B41" s="1" t="s">
        <v>27</v>
      </c>
      <c r="D41" s="1">
        <v>13872</v>
      </c>
    </row>
    <row r="42" spans="2:11" x14ac:dyDescent="0.3">
      <c r="B42" s="1" t="s">
        <v>28</v>
      </c>
      <c r="D42" s="1">
        <v>1934</v>
      </c>
    </row>
    <row r="43" spans="2:11" x14ac:dyDescent="0.3">
      <c r="B43" s="1" t="s">
        <v>29</v>
      </c>
      <c r="D43" s="1">
        <v>3373</v>
      </c>
    </row>
    <row r="44" spans="2:11" x14ac:dyDescent="0.3">
      <c r="B44" s="1" t="s">
        <v>30</v>
      </c>
      <c r="D44" s="1">
        <v>42119</v>
      </c>
    </row>
    <row r="45" spans="2:11" ht="14.4" thickBot="1" x14ac:dyDescent="0.35">
      <c r="B45" s="5" t="s">
        <v>68</v>
      </c>
      <c r="C45" s="6"/>
      <c r="D45" s="55">
        <f>D40+D41+D42+-D43-D44</f>
        <v>379590.05661586503</v>
      </c>
    </row>
    <row r="46" spans="2:11" ht="15" thickTop="1" thickBot="1" x14ac:dyDescent="0.35">
      <c r="B46" s="54" t="s">
        <v>67</v>
      </c>
      <c r="C46" s="54"/>
      <c r="D46" s="58">
        <f>D45*1000000</f>
        <v>379590056615.86505</v>
      </c>
    </row>
    <row r="48" spans="2:11" ht="14.4" thickBot="1" x14ac:dyDescent="0.35">
      <c r="B48" s="7" t="s">
        <v>31</v>
      </c>
      <c r="C48" s="7"/>
      <c r="D48" s="52">
        <f>H5</f>
        <v>4300723069</v>
      </c>
    </row>
    <row r="49" spans="2:4" x14ac:dyDescent="0.3">
      <c r="B49" s="53" t="s">
        <v>32</v>
      </c>
      <c r="C49" s="53"/>
      <c r="D49" s="59">
        <f>D46/D48</f>
        <v>88.261915618790809</v>
      </c>
    </row>
  </sheetData>
  <mergeCells count="7">
    <mergeCell ref="B1:K1"/>
    <mergeCell ref="B19:D19"/>
    <mergeCell ref="B20:D20"/>
    <mergeCell ref="B21:D21"/>
    <mergeCell ref="B16:D16"/>
    <mergeCell ref="B17:D17"/>
    <mergeCell ref="B18:D18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B3A2-18C5-4C76-946E-7792A07C75CB}">
  <dimension ref="B1:G42"/>
  <sheetViews>
    <sheetView showGridLines="0" tabSelected="1" topLeftCell="A16" zoomScale="94" workbookViewId="0">
      <selection activeCell="C3" sqref="C3"/>
    </sheetView>
  </sheetViews>
  <sheetFormatPr defaultRowHeight="14.4" x14ac:dyDescent="0.3"/>
  <cols>
    <col min="1" max="1" width="3.33203125" customWidth="1"/>
    <col min="3" max="3" width="9.6640625" customWidth="1"/>
    <col min="7" max="7" width="8.88671875" customWidth="1"/>
    <col min="12" max="12" width="12" customWidth="1"/>
  </cols>
  <sheetData>
    <row r="1" spans="2:7" ht="19.95" customHeight="1" x14ac:dyDescent="0.35">
      <c r="B1" s="21" t="s">
        <v>38</v>
      </c>
      <c r="C1" s="19"/>
      <c r="D1" s="19"/>
      <c r="E1" s="19"/>
      <c r="F1" s="18"/>
      <c r="G1" s="18"/>
    </row>
    <row r="3" spans="2:7" ht="16.2" thickBot="1" x14ac:dyDescent="0.35">
      <c r="B3" s="22" t="s">
        <v>39</v>
      </c>
      <c r="C3" s="20"/>
      <c r="D3" s="20"/>
      <c r="E3" s="20"/>
      <c r="F3" s="20"/>
      <c r="G3" s="20"/>
    </row>
    <row r="4" spans="2:7" x14ac:dyDescent="0.3">
      <c r="B4" s="68" t="s">
        <v>40</v>
      </c>
      <c r="C4" s="69"/>
      <c r="D4" s="69"/>
      <c r="E4" s="69"/>
      <c r="F4" s="69"/>
      <c r="G4" s="69"/>
    </row>
    <row r="5" spans="2:7" x14ac:dyDescent="0.3">
      <c r="B5" s="70"/>
      <c r="C5" s="70"/>
      <c r="D5" s="70"/>
      <c r="E5" s="70"/>
      <c r="F5" s="70"/>
      <c r="G5" s="70"/>
    </row>
    <row r="6" spans="2:7" ht="15" thickBot="1" x14ac:dyDescent="0.35"/>
    <row r="7" spans="2:7" ht="15" thickBot="1" x14ac:dyDescent="0.35">
      <c r="B7" s="23" t="s">
        <v>41</v>
      </c>
      <c r="C7" s="24"/>
      <c r="D7" s="24"/>
      <c r="E7" s="24"/>
      <c r="F7" s="24"/>
      <c r="G7" s="24"/>
    </row>
    <row r="8" spans="2:7" ht="15" thickBot="1" x14ac:dyDescent="0.35">
      <c r="B8" s="23" t="s">
        <v>42</v>
      </c>
      <c r="C8" s="24"/>
      <c r="D8" s="24"/>
      <c r="E8" s="24"/>
      <c r="F8" s="25">
        <v>26945</v>
      </c>
      <c r="G8" s="26">
        <v>3.6</v>
      </c>
    </row>
    <row r="9" spans="2:7" ht="15" thickBot="1" x14ac:dyDescent="0.35">
      <c r="B9" s="23" t="s">
        <v>43</v>
      </c>
      <c r="C9" s="24"/>
      <c r="D9" s="24"/>
      <c r="E9" s="24"/>
      <c r="F9" s="26">
        <v>767</v>
      </c>
      <c r="G9" s="26">
        <v>4.8</v>
      </c>
    </row>
    <row r="10" spans="2:7" ht="15" thickBot="1" x14ac:dyDescent="0.35">
      <c r="B10" s="24"/>
      <c r="C10" s="24"/>
      <c r="D10" s="24"/>
      <c r="E10" s="24"/>
      <c r="F10" s="24"/>
      <c r="G10" s="24"/>
    </row>
    <row r="11" spans="2:7" ht="15" thickBot="1" x14ac:dyDescent="0.35">
      <c r="B11" s="23" t="s">
        <v>44</v>
      </c>
      <c r="C11" s="24"/>
      <c r="D11" s="24"/>
      <c r="E11" s="24"/>
      <c r="F11" s="25">
        <v>15470</v>
      </c>
      <c r="G11" s="26">
        <v>2.4</v>
      </c>
    </row>
    <row r="12" spans="2:7" ht="15" thickBot="1" x14ac:dyDescent="0.35">
      <c r="B12" s="23" t="s">
        <v>45</v>
      </c>
      <c r="C12" s="24"/>
      <c r="D12" s="24"/>
      <c r="E12" s="24"/>
      <c r="F12" s="26">
        <v>726</v>
      </c>
      <c r="G12" s="26">
        <v>5.0999999999999996</v>
      </c>
    </row>
    <row r="13" spans="2:7" ht="15" thickBot="1" x14ac:dyDescent="0.35">
      <c r="B13" s="24"/>
      <c r="C13" s="24"/>
      <c r="D13" s="24"/>
      <c r="E13" s="24"/>
      <c r="F13" s="24"/>
      <c r="G13" s="24"/>
    </row>
    <row r="14" spans="2:7" ht="15" thickBot="1" x14ac:dyDescent="0.35">
      <c r="B14" s="24"/>
      <c r="C14" s="24"/>
      <c r="D14" s="24"/>
      <c r="E14" s="24"/>
      <c r="F14" s="24"/>
      <c r="G14" s="24"/>
    </row>
    <row r="15" spans="2:7" ht="15" thickBot="1" x14ac:dyDescent="0.35">
      <c r="B15" s="23" t="s">
        <v>48</v>
      </c>
      <c r="C15" s="24"/>
      <c r="D15" s="24"/>
      <c r="E15" s="24"/>
      <c r="F15" s="26">
        <v>651</v>
      </c>
      <c r="G15" s="26">
        <v>4.9000000000000004</v>
      </c>
    </row>
    <row r="16" spans="2:7" ht="15" thickBot="1" x14ac:dyDescent="0.35">
      <c r="B16" s="23" t="s">
        <v>49</v>
      </c>
      <c r="C16" s="24"/>
      <c r="D16" s="24"/>
      <c r="E16" s="24"/>
      <c r="F16" s="26">
        <v>-618</v>
      </c>
      <c r="G16" s="24"/>
    </row>
    <row r="17" spans="2:7" ht="15" thickBot="1" x14ac:dyDescent="0.35">
      <c r="B17" s="33" t="s">
        <v>50</v>
      </c>
      <c r="C17" s="32"/>
      <c r="D17" s="32"/>
      <c r="E17" s="32"/>
      <c r="F17" s="34">
        <v>43941</v>
      </c>
      <c r="G17" s="27">
        <v>3.3</v>
      </c>
    </row>
    <row r="18" spans="2:7" ht="15" thickBot="1" x14ac:dyDescent="0.35">
      <c r="B18" s="23" t="s">
        <v>46</v>
      </c>
      <c r="C18" s="24"/>
      <c r="D18" s="24"/>
      <c r="E18" s="24"/>
      <c r="F18" s="25">
        <v>1822</v>
      </c>
      <c r="G18" s="24"/>
    </row>
    <row r="19" spans="2:7" ht="27.6" thickBot="1" x14ac:dyDescent="0.35">
      <c r="B19" s="24" t="s">
        <v>47</v>
      </c>
      <c r="C19" s="24"/>
      <c r="D19" s="24"/>
      <c r="E19" s="24"/>
      <c r="F19" s="25">
        <v>42119</v>
      </c>
      <c r="G19" s="24"/>
    </row>
    <row r="21" spans="2:7" x14ac:dyDescent="0.3">
      <c r="B21" s="67" t="s">
        <v>51</v>
      </c>
      <c r="C21" s="64"/>
      <c r="D21" s="64"/>
      <c r="E21" s="64"/>
      <c r="F21" s="64"/>
    </row>
    <row r="22" spans="2:7" x14ac:dyDescent="0.3">
      <c r="B22" s="64"/>
      <c r="C22" s="64"/>
      <c r="D22" s="64"/>
      <c r="E22" s="64"/>
      <c r="F22" s="64"/>
    </row>
    <row r="24" spans="2:7" ht="15" thickBot="1" x14ac:dyDescent="0.35">
      <c r="B24" s="28" t="s">
        <v>52</v>
      </c>
      <c r="C24" s="20"/>
      <c r="D24" s="20"/>
      <c r="E24" s="20"/>
      <c r="F24" s="28" t="s">
        <v>57</v>
      </c>
      <c r="G24" s="20"/>
    </row>
    <row r="25" spans="2:7" x14ac:dyDescent="0.3">
      <c r="B25" t="s">
        <v>53</v>
      </c>
      <c r="F25">
        <f>G25*100</f>
        <v>3.8</v>
      </c>
      <c r="G25">
        <v>3.7999999999999999E-2</v>
      </c>
    </row>
    <row r="26" spans="2:7" x14ac:dyDescent="0.3">
      <c r="B26" t="s">
        <v>9</v>
      </c>
      <c r="F26">
        <f>G26*100</f>
        <v>22.900000000000002</v>
      </c>
      <c r="G26" s="29">
        <v>0.22900000000000001</v>
      </c>
    </row>
    <row r="27" spans="2:7" ht="15" thickBot="1" x14ac:dyDescent="0.35">
      <c r="B27" s="31" t="s">
        <v>8</v>
      </c>
      <c r="C27" s="30"/>
      <c r="D27" s="30"/>
      <c r="E27" s="30"/>
      <c r="F27" s="31">
        <f>G27*100</f>
        <v>2.9298000000000002</v>
      </c>
      <c r="G27" s="31">
        <f>G25*(1-G26)</f>
        <v>2.9298000000000001E-2</v>
      </c>
    </row>
    <row r="28" spans="2:7" ht="15" thickTop="1" x14ac:dyDescent="0.3"/>
    <row r="30" spans="2:7" ht="16.2" thickBot="1" x14ac:dyDescent="0.35">
      <c r="B30" s="22" t="s">
        <v>58</v>
      </c>
      <c r="C30" s="20"/>
      <c r="D30" s="20"/>
      <c r="E30" s="20"/>
      <c r="F30" s="36" t="s">
        <v>57</v>
      </c>
      <c r="G30" s="20"/>
    </row>
    <row r="31" spans="2:7" x14ac:dyDescent="0.3">
      <c r="B31" t="s">
        <v>54</v>
      </c>
      <c r="F31">
        <f>G31*100</f>
        <v>4.3900000000000006</v>
      </c>
      <c r="G31">
        <v>4.3900000000000002E-2</v>
      </c>
    </row>
    <row r="32" spans="2:7" x14ac:dyDescent="0.3">
      <c r="B32" t="s">
        <v>12</v>
      </c>
      <c r="F32">
        <f t="shared" ref="F32:F35" si="0">G32*100</f>
        <v>40</v>
      </c>
      <c r="G32">
        <v>0.4</v>
      </c>
    </row>
    <row r="33" spans="2:7" x14ac:dyDescent="0.3">
      <c r="B33" s="71" t="s">
        <v>55</v>
      </c>
      <c r="C33" s="71"/>
      <c r="D33" t="s">
        <v>56</v>
      </c>
      <c r="F33">
        <f t="shared" si="0"/>
        <v>9.39</v>
      </c>
      <c r="G33">
        <v>9.3899999999999997E-2</v>
      </c>
    </row>
    <row r="34" spans="2:7" x14ac:dyDescent="0.3">
      <c r="B34" s="71"/>
      <c r="C34" s="71"/>
      <c r="D34" t="s">
        <v>54</v>
      </c>
      <c r="F34">
        <f t="shared" si="0"/>
        <v>4.3900000000000006</v>
      </c>
      <c r="G34">
        <v>4.3900000000000002E-2</v>
      </c>
    </row>
    <row r="35" spans="2:7" ht="15" thickBot="1" x14ac:dyDescent="0.35">
      <c r="B35" s="31" t="s">
        <v>20</v>
      </c>
      <c r="C35" s="30"/>
      <c r="D35" s="30"/>
      <c r="E35" s="30"/>
      <c r="F35" s="31">
        <f t="shared" si="0"/>
        <v>6.39</v>
      </c>
      <c r="G35" s="31">
        <f>G31+G32*(G33-G34)</f>
        <v>6.3899999999999998E-2</v>
      </c>
    </row>
    <row r="36" spans="2:7" ht="15" thickTop="1" x14ac:dyDescent="0.3"/>
    <row r="37" spans="2:7" x14ac:dyDescent="0.3">
      <c r="B37" s="64" t="s">
        <v>71</v>
      </c>
      <c r="C37" s="64"/>
      <c r="D37" s="64"/>
      <c r="E37" s="64"/>
      <c r="F37" s="64"/>
      <c r="G37" s="64"/>
    </row>
    <row r="38" spans="2:7" ht="1.95" customHeight="1" x14ac:dyDescent="0.3"/>
    <row r="39" spans="2:7" x14ac:dyDescent="0.3">
      <c r="B39" s="64" t="s">
        <v>70</v>
      </c>
      <c r="C39" s="64"/>
      <c r="D39" s="64"/>
      <c r="E39" s="64"/>
      <c r="F39" s="64"/>
      <c r="G39" s="64"/>
    </row>
    <row r="40" spans="2:7" ht="1.95" customHeight="1" x14ac:dyDescent="0.3"/>
    <row r="41" spans="2:7" x14ac:dyDescent="0.3">
      <c r="B41" s="65" t="s">
        <v>72</v>
      </c>
      <c r="C41" s="66"/>
      <c r="D41" s="66"/>
      <c r="E41" s="66"/>
      <c r="F41" s="66"/>
      <c r="G41" s="66"/>
    </row>
    <row r="42" spans="2:7" x14ac:dyDescent="0.3">
      <c r="B42" s="66"/>
      <c r="C42" s="66"/>
      <c r="D42" s="66"/>
      <c r="E42" s="66"/>
      <c r="F42" s="66"/>
      <c r="G42" s="66"/>
    </row>
  </sheetData>
  <mergeCells count="6">
    <mergeCell ref="B39:G39"/>
    <mergeCell ref="B41:G42"/>
    <mergeCell ref="B21:F22"/>
    <mergeCell ref="B4:G5"/>
    <mergeCell ref="B33:C34"/>
    <mergeCell ref="B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Raj</dc:creator>
  <cp:lastModifiedBy>Rahul Raj</cp:lastModifiedBy>
  <dcterms:created xsi:type="dcterms:W3CDTF">2026-03-07T10:34:22Z</dcterms:created>
  <dcterms:modified xsi:type="dcterms:W3CDTF">2026-08-07T12:11:42Z</dcterms:modified>
</cp:coreProperties>
</file>